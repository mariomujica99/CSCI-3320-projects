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omujica/Documents/Courses/Data Structures/Programming Assignment/Assignment 1/"/>
    </mc:Choice>
  </mc:AlternateContent>
  <xr:revisionPtr revIDLastSave="0" documentId="13_ncr:1_{03FC7F05-998E-554D-B54B-0A7BA8CEFD43}" xr6:coauthVersionLast="47" xr6:coauthVersionMax="47" xr10:uidLastSave="{00000000-0000-0000-0000-000000000000}"/>
  <bookViews>
    <workbookView xWindow="0" yWindow="500" windowWidth="32140" windowHeight="26680" xr2:uid="{CC3BD477-B9A3-A742-800E-A6C6EC6FB06A}"/>
  </bookViews>
  <sheets>
    <sheet name="Assignment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" l="1"/>
  <c r="G68" i="1"/>
  <c r="G67" i="1"/>
  <c r="H67" i="1"/>
  <c r="H66" i="1"/>
  <c r="G66" i="1"/>
  <c r="H65" i="1"/>
  <c r="G65" i="1"/>
  <c r="H64" i="1"/>
  <c r="G64" i="1"/>
  <c r="H63" i="1"/>
  <c r="G63" i="1"/>
  <c r="H62" i="1"/>
  <c r="G62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D57" i="1"/>
  <c r="C57" i="1"/>
  <c r="B57" i="1"/>
  <c r="I42" i="1"/>
  <c r="H42" i="1"/>
  <c r="G42" i="1"/>
  <c r="D42" i="1"/>
  <c r="C42" i="1"/>
  <c r="B42" i="1"/>
  <c r="I27" i="1"/>
  <c r="H27" i="1"/>
  <c r="G27" i="1"/>
  <c r="D27" i="1"/>
  <c r="C27" i="1"/>
  <c r="B27" i="1"/>
  <c r="I12" i="1"/>
  <c r="H12" i="1"/>
  <c r="G12" i="1"/>
  <c r="D12" i="1"/>
  <c r="C12" i="1"/>
  <c r="B12" i="1"/>
</calcChain>
</file>

<file path=xl/sharedStrings.xml><?xml version="1.0" encoding="utf-8"?>
<sst xmlns="http://schemas.openxmlformats.org/spreadsheetml/2006/main" count="112" uniqueCount="26">
  <si>
    <t>Algorithm 2</t>
  </si>
  <si>
    <t>Algorithm 3</t>
  </si>
  <si>
    <t>Algorithm 4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</si>
  <si>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</si>
  <si>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</si>
  <si>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</si>
  <si>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</si>
  <si>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</si>
  <si>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</si>
  <si>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</si>
  <si>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</si>
  <si>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</si>
  <si>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</si>
  <si>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Average</t>
  </si>
  <si>
    <t>Input Size (100)</t>
  </si>
  <si>
    <t>Input Size (200)</t>
  </si>
  <si>
    <t>Input Size (400)</t>
  </si>
  <si>
    <t>Input Size (800)</t>
  </si>
  <si>
    <t>Input Size (1600)</t>
  </si>
  <si>
    <t>Input Size (3200)</t>
  </si>
  <si>
    <t>Input Size (64000)</t>
  </si>
  <si>
    <t>Algorithm 2 (Avg)</t>
  </si>
  <si>
    <t>Algorithm 3 (Avg)</t>
  </si>
  <si>
    <t>Algorithm 4 (Avg)</t>
  </si>
  <si>
    <t>Size</t>
  </si>
  <si>
    <t>I observed the expected results from these experiments.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</si>
</sst>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Algorithms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'Assignment 1'!$G$61</c:f>
              <c:strCache>
                <c:ptCount val="1"/>
                <c:pt idx="0">
                  <c:v>Algorithm 3 (Avg)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'Assignment 1'!$F$62:$F$67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</c:numCache>
            </c:numRef>
          </c:xVal>
          <c:yVal>
            <c:numRef>
              <c:f>'Assignment 1'!$G$62:$G$67</c:f>
              <c:numCache>
                <c:formatCode>General</c:formatCode>
                <c:ptCount val="6"/>
                <c:pt idx="0">
                  <c:v>239646.7</c:v>
                </c:pt>
                <c:pt idx="1">
                  <c:v>452627.1</c:v>
                </c:pt>
                <c:pt idx="2">
                  <c:v>965909.5</c:v>
                </c:pt>
                <c:pt idx="3">
                  <c:v>1876719.4</c:v>
                </c:pt>
                <c:pt idx="4">
                  <c:v>3734711.4</c:v>
                </c:pt>
                <c:pt idx="5">
                  <c:v>8063422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D-0F42-A5B0-3127DFC3C5DA}"/>
            </c:ext>
          </c:extLst>
        </c:ser>
        <c:ser>
          <c:idx val="1"/>
          <c:order val="1"/>
          <c:tx>
            <c:strRef>
              <c:f>'Assignment 1'!$H$61</c:f>
              <c:strCache>
                <c:ptCount val="1"/>
                <c:pt idx="0">
                  <c:v>Algorithm 4 (Avg)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'Assignment 1'!$F$62:$F$67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</c:numCache>
            </c:numRef>
          </c:xVal>
          <c:yVal>
            <c:numRef>
              <c:f>'Assignment 1'!$H$62:$H$67</c:f>
              <c:numCache>
                <c:formatCode>General</c:formatCode>
                <c:ptCount val="6"/>
                <c:pt idx="0">
                  <c:v>16849.8</c:v>
                </c:pt>
                <c:pt idx="1">
                  <c:v>26943.1</c:v>
                </c:pt>
                <c:pt idx="2">
                  <c:v>53840.1</c:v>
                </c:pt>
                <c:pt idx="3">
                  <c:v>101497.9</c:v>
                </c:pt>
                <c:pt idx="4">
                  <c:v>200183.6</c:v>
                </c:pt>
                <c:pt idx="5">
                  <c:v>368680.9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D-0F42-A5B0-3127DFC3C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733168"/>
        <c:axId val="1644709584"/>
      </c:scatterChart>
      <c:valAx>
        <c:axId val="15967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9584"/>
        <c:crosses val="autoZero"/>
        <c:crossBetween val="midCat"/>
      </c:valAx>
      <c:valAx>
        <c:axId val="1644709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(nanoseconds)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967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Algorithms 2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'Assignment 1'!$B$61</c:f>
              <c:strCache>
                <c:ptCount val="1"/>
                <c:pt idx="0">
                  <c:v>Algorithm 2 (Avg)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'Assignment 1'!$A$62:$A$67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</c:numCache>
            </c:numRef>
          </c:xVal>
          <c:yVal>
            <c:numRef>
              <c:f>'Assignment 1'!$B$62:$B$67</c:f>
              <c:numCache>
                <c:formatCode>General</c:formatCode>
                <c:ptCount val="6"/>
                <c:pt idx="0">
                  <c:v>790134.7</c:v>
                </c:pt>
                <c:pt idx="1">
                  <c:v>2299653.4</c:v>
                </c:pt>
                <c:pt idx="2">
                  <c:v>8671714.0999999996</c:v>
                </c:pt>
                <c:pt idx="3">
                  <c:v>34625217.700000003</c:v>
                </c:pt>
                <c:pt idx="4">
                  <c:v>130036451.59999999</c:v>
                </c:pt>
                <c:pt idx="5">
                  <c:v>549767831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48-2E4F-9E21-51A19A223AF2}"/>
            </c:ext>
          </c:extLst>
        </c:ser>
        <c:ser>
          <c:idx val="1"/>
          <c:order val="1"/>
          <c:tx>
            <c:strRef>
              <c:f>'Assignment 1'!$C$61</c:f>
              <c:strCache>
                <c:ptCount val="1"/>
                <c:pt idx="0">
                  <c:v>Algorithm 3 (Avg)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'Assignment 1'!$A$62:$A$67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</c:numCache>
            </c:numRef>
          </c:xVal>
          <c:yVal>
            <c:numRef>
              <c:f>'Assignment 1'!$C$62:$C$67</c:f>
              <c:numCache>
                <c:formatCode>General</c:formatCode>
                <c:ptCount val="6"/>
                <c:pt idx="0">
                  <c:v>239646.7</c:v>
                </c:pt>
                <c:pt idx="1">
                  <c:v>452627.1</c:v>
                </c:pt>
                <c:pt idx="2">
                  <c:v>965909.5</c:v>
                </c:pt>
                <c:pt idx="3">
                  <c:v>1876719.4</c:v>
                </c:pt>
                <c:pt idx="4">
                  <c:v>3734711.4</c:v>
                </c:pt>
                <c:pt idx="5">
                  <c:v>8063422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48-2E4F-9E21-51A19A22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862336"/>
        <c:axId val="1650917616"/>
      </c:scatterChart>
      <c:valAx>
        <c:axId val="160186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17616"/>
        <c:crosses val="autoZero"/>
        <c:crossBetween val="midCat"/>
      </c:valAx>
      <c:valAx>
        <c:axId val="1650917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0186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</xdr:colOff>
      <xdr:row>69</xdr:row>
      <xdr:rowOff>8467</xdr:rowOff>
    </xdr:from>
    <xdr:to>
      <xdr:col>9</xdr:col>
      <xdr:colOff>0</xdr:colOff>
      <xdr:row>82</xdr:row>
      <xdr:rowOff>194733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43D86B-2CAB-5A23-2EFB-3B97A1649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80433</xdr:colOff>
      <xdr:row>69</xdr:row>
      <xdr:rowOff>0</xdr:rowOff>
    </xdr:from>
    <xdr:to>
      <xdr:col>4</xdr:col>
      <xdr:colOff>0</xdr:colOff>
      <xdr:row>82</xdr:row>
      <xdr:rowOff>203199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F5B319-D15B-BAD0-5A42-CFD2A68DA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ACCA-B94C-E349-8B20-1CB848068C1C}">
  <dimension ref="A1:I86"/>
  <sheetViews>
    <sheetView tabSelected="1" topLeftCell="A47" zoomScale="150" zoomScaleNormal="150" workbookViewId="0">
      <selection activeCell="G88" sqref="G88"/>
    </sheetView>
  </sheetViews>
  <sheetFormatPr baseColWidth="10" defaultRowHeight="16" x14ac:dyDescent="0.2"/>
  <cols>
    <col min="1" max="1" width="16" bestFit="1" customWidth="1"/>
    <col min="2" max="3" width="15.6640625" bestFit="1" customWidth="1"/>
    <col min="6" max="6" width="15" bestFit="1" customWidth="1"/>
    <col min="7" max="8" width="15.6640625" bestFit="1" customWidth="1"/>
  </cols>
  <sheetData>
    <row r="1" spans="1:9" x14ac:dyDescent="0.2">
      <c r="A1" t="s">
        <v>14</v>
      </c>
      <c r="B1" t="s">
        <v>0</v>
      </c>
      <c r="C1" t="s">
        <v>1</v>
      </c>
      <c r="D1" t="s">
        <v>2</v>
      </c>
      <c r="F1" t="s">
        <v>15</v>
      </c>
      <c r="G1" t="s">
        <v>0</v>
      </c>
      <c r="H1" t="s">
        <v>1</v>
      </c>
      <c r="I1" t="s">
        <v>2</v>
      </c>
    </row>
    <row r="2" spans="1:9" x14ac:dyDescent="0.2">
      <c r="A2" t="s">
        <v>3</v>
      </c>
      <c r="B2">
        <v>830020</v>
      </c>
      <c r="C2">
        <v>238284</v>
      </c>
      <c r="D2">
        <v>15235</v>
      </c>
      <c r="F2" t="s">
        <v>3</v>
      </c>
      <c r="G2">
        <v>2147453</v>
      </c>
      <c r="H2">
        <v>428935</v>
      </c>
      <c r="I2">
        <v>25753</v>
      </c>
    </row>
    <row r="3" spans="1:9" x14ac:dyDescent="0.2">
      <c r="A3" t="s">
        <v>4</v>
      </c>
      <c r="B3">
        <v>904870</v>
      </c>
      <c r="C3">
        <v>220518</v>
      </c>
      <c r="D3">
        <v>15847</v>
      </c>
      <c r="F3" t="s">
        <v>4</v>
      </c>
      <c r="G3">
        <v>2124153</v>
      </c>
      <c r="H3">
        <v>418921</v>
      </c>
      <c r="I3">
        <v>28870</v>
      </c>
    </row>
    <row r="4" spans="1:9" x14ac:dyDescent="0.2">
      <c r="A4" t="s">
        <v>5</v>
      </c>
      <c r="B4">
        <v>824525</v>
      </c>
      <c r="C4">
        <v>190103</v>
      </c>
      <c r="D4">
        <v>13933</v>
      </c>
      <c r="F4" t="s">
        <v>5</v>
      </c>
      <c r="G4">
        <v>2274181</v>
      </c>
      <c r="H4">
        <v>404320</v>
      </c>
      <c r="I4">
        <v>26018</v>
      </c>
    </row>
    <row r="5" spans="1:9" x14ac:dyDescent="0.2">
      <c r="A5" t="s">
        <v>6</v>
      </c>
      <c r="B5">
        <v>728211</v>
      </c>
      <c r="C5">
        <v>415342</v>
      </c>
      <c r="D5">
        <v>27877</v>
      </c>
      <c r="F5" t="s">
        <v>6</v>
      </c>
      <c r="G5">
        <v>2273774</v>
      </c>
      <c r="H5">
        <v>394629</v>
      </c>
      <c r="I5">
        <v>23880</v>
      </c>
    </row>
    <row r="6" spans="1:9" x14ac:dyDescent="0.2">
      <c r="A6" t="s">
        <v>7</v>
      </c>
      <c r="B6">
        <v>991475</v>
      </c>
      <c r="C6">
        <v>216623</v>
      </c>
      <c r="D6">
        <v>15505</v>
      </c>
      <c r="F6" t="s">
        <v>7</v>
      </c>
      <c r="G6">
        <v>2399832</v>
      </c>
      <c r="H6">
        <v>484275</v>
      </c>
      <c r="I6">
        <v>25353</v>
      </c>
    </row>
    <row r="7" spans="1:9" x14ac:dyDescent="0.2">
      <c r="A7" t="s">
        <v>8</v>
      </c>
      <c r="B7">
        <v>551811</v>
      </c>
      <c r="C7">
        <v>221708</v>
      </c>
      <c r="D7">
        <v>15193</v>
      </c>
      <c r="F7" t="s">
        <v>8</v>
      </c>
      <c r="G7">
        <v>2316001</v>
      </c>
      <c r="H7">
        <v>574538</v>
      </c>
      <c r="I7">
        <v>26609</v>
      </c>
    </row>
    <row r="8" spans="1:9" x14ac:dyDescent="0.2">
      <c r="A8" t="s">
        <v>9</v>
      </c>
      <c r="B8">
        <v>906881</v>
      </c>
      <c r="C8">
        <v>226498</v>
      </c>
      <c r="D8">
        <v>16710</v>
      </c>
      <c r="F8" t="s">
        <v>9</v>
      </c>
      <c r="G8">
        <v>2201674</v>
      </c>
      <c r="H8">
        <v>492193</v>
      </c>
      <c r="I8">
        <v>25776</v>
      </c>
    </row>
    <row r="9" spans="1:9" x14ac:dyDescent="0.2">
      <c r="A9" t="s">
        <v>10</v>
      </c>
      <c r="B9">
        <v>723287</v>
      </c>
      <c r="C9">
        <v>216546</v>
      </c>
      <c r="D9">
        <v>15800</v>
      </c>
      <c r="F9" t="s">
        <v>10</v>
      </c>
      <c r="G9">
        <v>2064592</v>
      </c>
      <c r="H9">
        <v>386990</v>
      </c>
      <c r="I9">
        <v>25141</v>
      </c>
    </row>
    <row r="10" spans="1:9" x14ac:dyDescent="0.2">
      <c r="A10" t="s">
        <v>11</v>
      </c>
      <c r="B10">
        <v>651461</v>
      </c>
      <c r="C10">
        <v>213397</v>
      </c>
      <c r="D10">
        <v>15493</v>
      </c>
      <c r="F10" t="s">
        <v>11</v>
      </c>
      <c r="G10">
        <v>2787663</v>
      </c>
      <c r="H10">
        <v>503173</v>
      </c>
      <c r="I10">
        <v>34637</v>
      </c>
    </row>
    <row r="11" spans="1:9" x14ac:dyDescent="0.2">
      <c r="A11" t="s">
        <v>12</v>
      </c>
      <c r="B11">
        <v>788806</v>
      </c>
      <c r="C11">
        <v>237448</v>
      </c>
      <c r="D11">
        <v>16905</v>
      </c>
      <c r="F11" t="s">
        <v>12</v>
      </c>
      <c r="G11">
        <v>2407211</v>
      </c>
      <c r="H11">
        <v>438297</v>
      </c>
      <c r="I11">
        <v>27394</v>
      </c>
    </row>
    <row r="12" spans="1:9" x14ac:dyDescent="0.2">
      <c r="A12" t="s">
        <v>13</v>
      </c>
      <c r="B12">
        <f>AVERAGE(B2:B11)</f>
        <v>790134.7</v>
      </c>
      <c r="C12">
        <f>AVERAGE(C2:C11)</f>
        <v>239646.7</v>
      </c>
      <c r="D12">
        <f>AVERAGE(D2:D11)</f>
        <v>16849.8</v>
      </c>
      <c r="F12" t="s">
        <v>13</v>
      </c>
      <c r="G12">
        <f>AVERAGE(G2:G11)</f>
        <v>2299653.4</v>
      </c>
      <c r="H12">
        <f>AVERAGE(H2:H11)</f>
        <v>452627.1</v>
      </c>
      <c r="I12">
        <f>AVERAGE(I2:I11)</f>
        <v>26943.1</v>
      </c>
    </row>
    <row r="16" spans="1:9" x14ac:dyDescent="0.2">
      <c r="A16" t="s">
        <v>16</v>
      </c>
      <c r="B16" t="s">
        <v>0</v>
      </c>
      <c r="C16" t="s">
        <v>1</v>
      </c>
      <c r="D16" t="s">
        <v>2</v>
      </c>
      <c r="F16" t="s">
        <v>17</v>
      </c>
      <c r="G16" t="s">
        <v>0</v>
      </c>
      <c r="H16" t="s">
        <v>1</v>
      </c>
      <c r="I16" t="s">
        <v>2</v>
      </c>
    </row>
    <row r="17" spans="1:9" x14ac:dyDescent="0.2">
      <c r="A17" t="s">
        <v>3</v>
      </c>
      <c r="B17">
        <v>8680779</v>
      </c>
      <c r="C17">
        <v>930053</v>
      </c>
      <c r="D17">
        <v>58680</v>
      </c>
      <c r="F17" t="s">
        <v>3</v>
      </c>
      <c r="G17">
        <v>32025076</v>
      </c>
      <c r="H17">
        <v>1637441</v>
      </c>
      <c r="I17">
        <v>86871</v>
      </c>
    </row>
    <row r="18" spans="1:9" x14ac:dyDescent="0.2">
      <c r="A18" t="s">
        <v>4</v>
      </c>
      <c r="B18">
        <v>8356815</v>
      </c>
      <c r="C18">
        <v>858223</v>
      </c>
      <c r="D18">
        <v>49241</v>
      </c>
      <c r="F18" t="s">
        <v>4</v>
      </c>
      <c r="G18">
        <v>34776002</v>
      </c>
      <c r="H18">
        <v>1917426</v>
      </c>
      <c r="I18">
        <v>156163</v>
      </c>
    </row>
    <row r="19" spans="1:9" x14ac:dyDescent="0.2">
      <c r="A19" t="s">
        <v>5</v>
      </c>
      <c r="B19">
        <v>8319525</v>
      </c>
      <c r="C19">
        <v>959140</v>
      </c>
      <c r="D19">
        <v>49183</v>
      </c>
      <c r="F19" t="s">
        <v>5</v>
      </c>
      <c r="G19">
        <v>32164082</v>
      </c>
      <c r="H19">
        <v>1717182</v>
      </c>
      <c r="I19">
        <v>90764</v>
      </c>
    </row>
    <row r="20" spans="1:9" x14ac:dyDescent="0.2">
      <c r="A20" t="s">
        <v>6</v>
      </c>
      <c r="B20">
        <v>9271918</v>
      </c>
      <c r="C20">
        <v>854839</v>
      </c>
      <c r="D20">
        <v>46506</v>
      </c>
      <c r="F20" t="s">
        <v>6</v>
      </c>
      <c r="G20">
        <v>32755204</v>
      </c>
      <c r="H20">
        <v>1808562</v>
      </c>
      <c r="I20">
        <v>98929</v>
      </c>
    </row>
    <row r="21" spans="1:9" x14ac:dyDescent="0.2">
      <c r="A21" t="s">
        <v>7</v>
      </c>
      <c r="B21">
        <v>10120309</v>
      </c>
      <c r="C21">
        <v>1745915</v>
      </c>
      <c r="D21">
        <v>52853</v>
      </c>
      <c r="F21" t="s">
        <v>7</v>
      </c>
      <c r="G21">
        <v>34398811</v>
      </c>
      <c r="H21">
        <v>1684894</v>
      </c>
      <c r="I21">
        <v>89749</v>
      </c>
    </row>
    <row r="22" spans="1:9" x14ac:dyDescent="0.2">
      <c r="A22" t="s">
        <v>8</v>
      </c>
      <c r="B22">
        <v>8148225</v>
      </c>
      <c r="C22">
        <v>826096</v>
      </c>
      <c r="D22">
        <v>56506</v>
      </c>
      <c r="F22" t="s">
        <v>8</v>
      </c>
      <c r="G22">
        <v>33394147</v>
      </c>
      <c r="H22">
        <v>2159360</v>
      </c>
      <c r="I22">
        <v>106281</v>
      </c>
    </row>
    <row r="23" spans="1:9" x14ac:dyDescent="0.2">
      <c r="A23" t="s">
        <v>9</v>
      </c>
      <c r="B23">
        <v>8355681</v>
      </c>
      <c r="C23">
        <v>812799</v>
      </c>
      <c r="D23">
        <v>67754</v>
      </c>
      <c r="F23" t="s">
        <v>9</v>
      </c>
      <c r="G23">
        <v>34524854</v>
      </c>
      <c r="H23">
        <v>2043757</v>
      </c>
      <c r="I23">
        <v>109049</v>
      </c>
    </row>
    <row r="24" spans="1:9" x14ac:dyDescent="0.2">
      <c r="A24" t="s">
        <v>10</v>
      </c>
      <c r="B24">
        <v>8600034</v>
      </c>
      <c r="C24">
        <v>967186</v>
      </c>
      <c r="D24">
        <v>45488</v>
      </c>
      <c r="F24" t="s">
        <v>10</v>
      </c>
      <c r="G24">
        <v>33126275</v>
      </c>
      <c r="H24">
        <v>1987106</v>
      </c>
      <c r="I24">
        <v>97776</v>
      </c>
    </row>
    <row r="25" spans="1:9" x14ac:dyDescent="0.2">
      <c r="A25" t="s">
        <v>11</v>
      </c>
      <c r="B25">
        <v>8710005</v>
      </c>
      <c r="C25">
        <v>856725</v>
      </c>
      <c r="D25">
        <v>55787</v>
      </c>
      <c r="F25" t="s">
        <v>11</v>
      </c>
      <c r="G25">
        <v>35699884</v>
      </c>
      <c r="H25">
        <v>1640119</v>
      </c>
      <c r="I25">
        <v>89521</v>
      </c>
    </row>
    <row r="26" spans="1:9" x14ac:dyDescent="0.2">
      <c r="A26" t="s">
        <v>12</v>
      </c>
      <c r="B26">
        <v>8153850</v>
      </c>
      <c r="C26">
        <v>848119</v>
      </c>
      <c r="D26">
        <v>56403</v>
      </c>
      <c r="F26" t="s">
        <v>12</v>
      </c>
      <c r="G26">
        <v>43387842</v>
      </c>
      <c r="H26">
        <v>2171347</v>
      </c>
      <c r="I26">
        <v>89876</v>
      </c>
    </row>
    <row r="27" spans="1:9" x14ac:dyDescent="0.2">
      <c r="A27" t="s">
        <v>13</v>
      </c>
      <c r="B27">
        <f>AVERAGE(B17:B26)</f>
        <v>8671714.0999999996</v>
      </c>
      <c r="C27">
        <f>AVERAGE(C17:C26)</f>
        <v>965909.5</v>
      </c>
      <c r="D27">
        <f>AVERAGE(D17:D26)</f>
        <v>53840.1</v>
      </c>
      <c r="F27" t="s">
        <v>13</v>
      </c>
      <c r="G27">
        <f>AVERAGE(G17:G26)</f>
        <v>34625217.700000003</v>
      </c>
      <c r="H27">
        <f>AVERAGE(H17:H26)</f>
        <v>1876719.4</v>
      </c>
      <c r="I27">
        <f>AVERAGE(I17:I26)</f>
        <v>101497.9</v>
      </c>
    </row>
    <row r="31" spans="1:9" x14ac:dyDescent="0.2">
      <c r="A31" t="s">
        <v>18</v>
      </c>
      <c r="B31" t="s">
        <v>0</v>
      </c>
      <c r="C31" t="s">
        <v>1</v>
      </c>
      <c r="D31" t="s">
        <v>2</v>
      </c>
      <c r="F31" t="s">
        <v>19</v>
      </c>
      <c r="G31" t="s">
        <v>0</v>
      </c>
      <c r="H31" t="s">
        <v>1</v>
      </c>
      <c r="I31" t="s">
        <v>2</v>
      </c>
    </row>
    <row r="32" spans="1:9" x14ac:dyDescent="0.2">
      <c r="A32" t="s">
        <v>3</v>
      </c>
      <c r="B32">
        <v>127220946</v>
      </c>
      <c r="C32">
        <v>3462244</v>
      </c>
      <c r="D32">
        <v>174704</v>
      </c>
      <c r="F32" t="s">
        <v>3</v>
      </c>
      <c r="G32">
        <v>516577583</v>
      </c>
      <c r="H32">
        <v>7609976</v>
      </c>
      <c r="I32">
        <v>356954</v>
      </c>
    </row>
    <row r="33" spans="1:9" x14ac:dyDescent="0.2">
      <c r="A33" t="s">
        <v>4</v>
      </c>
      <c r="B33">
        <v>127661602</v>
      </c>
      <c r="C33">
        <v>3651397</v>
      </c>
      <c r="D33">
        <v>176645</v>
      </c>
      <c r="F33" t="s">
        <v>4</v>
      </c>
      <c r="G33">
        <v>527044290</v>
      </c>
      <c r="H33">
        <v>8369763</v>
      </c>
      <c r="I33">
        <v>347420</v>
      </c>
    </row>
    <row r="34" spans="1:9" x14ac:dyDescent="0.2">
      <c r="A34" t="s">
        <v>5</v>
      </c>
      <c r="B34">
        <v>138108431</v>
      </c>
      <c r="C34">
        <v>3438695</v>
      </c>
      <c r="D34">
        <v>178289</v>
      </c>
      <c r="F34" t="s">
        <v>5</v>
      </c>
      <c r="G34">
        <v>614670126</v>
      </c>
      <c r="H34">
        <v>8064433</v>
      </c>
      <c r="I34">
        <v>393210</v>
      </c>
    </row>
    <row r="35" spans="1:9" x14ac:dyDescent="0.2">
      <c r="A35" t="s">
        <v>6</v>
      </c>
      <c r="B35">
        <v>127385030</v>
      </c>
      <c r="C35">
        <v>3685416</v>
      </c>
      <c r="D35">
        <v>178679</v>
      </c>
      <c r="F35" t="s">
        <v>6</v>
      </c>
      <c r="G35">
        <v>536560047</v>
      </c>
      <c r="H35">
        <v>7935362</v>
      </c>
      <c r="I35">
        <v>384727</v>
      </c>
    </row>
    <row r="36" spans="1:9" x14ac:dyDescent="0.2">
      <c r="A36" t="s">
        <v>7</v>
      </c>
      <c r="B36">
        <v>133371607</v>
      </c>
      <c r="C36">
        <v>4302107</v>
      </c>
      <c r="D36">
        <v>199310</v>
      </c>
      <c r="F36" t="s">
        <v>7</v>
      </c>
      <c r="G36">
        <v>515924285</v>
      </c>
      <c r="H36">
        <v>8158278</v>
      </c>
      <c r="I36">
        <v>349619</v>
      </c>
    </row>
    <row r="37" spans="1:9" x14ac:dyDescent="0.2">
      <c r="A37" t="s">
        <v>8</v>
      </c>
      <c r="B37">
        <v>133456463</v>
      </c>
      <c r="C37">
        <v>3450601</v>
      </c>
      <c r="D37">
        <v>172180</v>
      </c>
      <c r="F37" t="s">
        <v>8</v>
      </c>
      <c r="G37">
        <v>541291214</v>
      </c>
      <c r="H37">
        <v>7329243</v>
      </c>
      <c r="I37">
        <v>376420</v>
      </c>
    </row>
    <row r="38" spans="1:9" x14ac:dyDescent="0.2">
      <c r="A38" t="s">
        <v>9</v>
      </c>
      <c r="B38">
        <v>125929867</v>
      </c>
      <c r="C38">
        <v>3914472</v>
      </c>
      <c r="D38">
        <v>238695</v>
      </c>
      <c r="F38" t="s">
        <v>9</v>
      </c>
      <c r="G38">
        <v>559631944</v>
      </c>
      <c r="H38">
        <v>8269814</v>
      </c>
      <c r="I38">
        <v>410429</v>
      </c>
    </row>
    <row r="39" spans="1:9" x14ac:dyDescent="0.2">
      <c r="A39" t="s">
        <v>10</v>
      </c>
      <c r="B39">
        <v>126578670</v>
      </c>
      <c r="C39">
        <v>3924692</v>
      </c>
      <c r="D39">
        <v>180223</v>
      </c>
      <c r="F39" t="s">
        <v>10</v>
      </c>
      <c r="G39">
        <v>516934177</v>
      </c>
      <c r="H39">
        <v>7842107</v>
      </c>
      <c r="I39">
        <v>354050</v>
      </c>
    </row>
    <row r="40" spans="1:9" x14ac:dyDescent="0.2">
      <c r="A40" t="s">
        <v>11</v>
      </c>
      <c r="B40">
        <v>127659006</v>
      </c>
      <c r="C40">
        <v>3500463</v>
      </c>
      <c r="D40">
        <v>308610</v>
      </c>
      <c r="F40" t="s">
        <v>11</v>
      </c>
      <c r="G40">
        <v>581434263</v>
      </c>
      <c r="H40">
        <v>9188734</v>
      </c>
      <c r="I40">
        <v>357414</v>
      </c>
    </row>
    <row r="41" spans="1:9" x14ac:dyDescent="0.2">
      <c r="A41" t="s">
        <v>12</v>
      </c>
      <c r="B41">
        <v>132992894</v>
      </c>
      <c r="C41">
        <v>4017027</v>
      </c>
      <c r="D41">
        <v>194501</v>
      </c>
      <c r="F41" t="s">
        <v>12</v>
      </c>
      <c r="G41">
        <v>587610381</v>
      </c>
      <c r="H41">
        <v>7866510</v>
      </c>
      <c r="I41">
        <v>356566</v>
      </c>
    </row>
    <row r="42" spans="1:9" x14ac:dyDescent="0.2">
      <c r="A42" t="s">
        <v>13</v>
      </c>
      <c r="B42">
        <f>AVERAGE(B32:B41)</f>
        <v>130036451.59999999</v>
      </c>
      <c r="C42">
        <f>AVERAGE(C32:C41)</f>
        <v>3734711.4</v>
      </c>
      <c r="D42">
        <f>AVERAGE(D32:D41)</f>
        <v>200183.6</v>
      </c>
      <c r="F42" t="s">
        <v>13</v>
      </c>
      <c r="G42">
        <f>AVERAGE(G32:G41)</f>
        <v>549767831</v>
      </c>
      <c r="H42">
        <f>AVERAGE(H32:H41)</f>
        <v>8063422</v>
      </c>
      <c r="I42">
        <f>AVERAGE(I32:I41)</f>
        <v>368680.9</v>
      </c>
    </row>
    <row r="46" spans="1:9" x14ac:dyDescent="0.2">
      <c r="A46" t="s">
        <v>20</v>
      </c>
      <c r="B46" t="s">
        <v>0</v>
      </c>
      <c r="C46" t="s">
        <v>1</v>
      </c>
      <c r="D46" t="s">
        <v>2</v>
      </c>
    </row>
    <row r="47" spans="1:9" x14ac:dyDescent="0.2">
      <c r="A47" t="s">
        <v>3</v>
      </c>
      <c r="B47">
        <v>195548106228</v>
      </c>
      <c r="C47">
        <v>172396814</v>
      </c>
      <c r="D47">
        <v>7310993</v>
      </c>
    </row>
    <row r="48" spans="1:9" x14ac:dyDescent="0.2">
      <c r="A48" t="s">
        <v>4</v>
      </c>
      <c r="B48">
        <v>199847440181</v>
      </c>
      <c r="C48">
        <v>198033263</v>
      </c>
      <c r="D48">
        <v>8557559</v>
      </c>
    </row>
    <row r="49" spans="1:8" x14ac:dyDescent="0.2">
      <c r="A49" t="s">
        <v>5</v>
      </c>
      <c r="B49">
        <v>201861951897</v>
      </c>
      <c r="C49">
        <v>171602405</v>
      </c>
      <c r="D49">
        <v>7107520</v>
      </c>
    </row>
    <row r="50" spans="1:8" x14ac:dyDescent="0.2">
      <c r="A50" t="s">
        <v>6</v>
      </c>
      <c r="B50">
        <v>207429529182</v>
      </c>
      <c r="C50">
        <v>173439899</v>
      </c>
      <c r="D50">
        <v>7404121</v>
      </c>
    </row>
    <row r="51" spans="1:8" x14ac:dyDescent="0.2">
      <c r="A51" t="s">
        <v>7</v>
      </c>
      <c r="B51">
        <v>188489114917</v>
      </c>
      <c r="C51">
        <v>177425331</v>
      </c>
      <c r="D51">
        <v>6842707</v>
      </c>
    </row>
    <row r="52" spans="1:8" x14ac:dyDescent="0.2">
      <c r="A52" t="s">
        <v>8</v>
      </c>
      <c r="B52">
        <v>193809306819</v>
      </c>
      <c r="C52">
        <v>176717956</v>
      </c>
      <c r="D52">
        <v>7283209</v>
      </c>
    </row>
    <row r="53" spans="1:8" x14ac:dyDescent="0.2">
      <c r="A53" t="s">
        <v>9</v>
      </c>
      <c r="B53">
        <v>194773521813</v>
      </c>
      <c r="C53">
        <v>173258382</v>
      </c>
      <c r="D53">
        <v>7010228</v>
      </c>
    </row>
    <row r="54" spans="1:8" x14ac:dyDescent="0.2">
      <c r="A54" t="s">
        <v>10</v>
      </c>
      <c r="B54">
        <v>191884023949</v>
      </c>
      <c r="C54">
        <v>171900578</v>
      </c>
      <c r="D54">
        <v>8305082</v>
      </c>
    </row>
    <row r="55" spans="1:8" x14ac:dyDescent="0.2">
      <c r="A55" t="s">
        <v>11</v>
      </c>
      <c r="B55">
        <v>194810391656</v>
      </c>
      <c r="C55">
        <v>170462861</v>
      </c>
      <c r="D55">
        <v>6784127</v>
      </c>
    </row>
    <row r="56" spans="1:8" x14ac:dyDescent="0.2">
      <c r="A56" t="s">
        <v>12</v>
      </c>
      <c r="B56">
        <v>211083906701</v>
      </c>
      <c r="C56">
        <v>173529023</v>
      </c>
      <c r="D56">
        <v>6924327</v>
      </c>
    </row>
    <row r="57" spans="1:8" x14ac:dyDescent="0.2">
      <c r="A57" t="s">
        <v>13</v>
      </c>
      <c r="B57">
        <f>AVERAGE(B47:B56)</f>
        <v>197953729334.29999</v>
      </c>
      <c r="C57">
        <f>AVERAGE(C47:C56)</f>
        <v>175876651.19999999</v>
      </c>
      <c r="D57">
        <f>AVERAGE(D47:D56)</f>
        <v>7352987.2999999998</v>
      </c>
    </row>
    <row r="61" spans="1:8" x14ac:dyDescent="0.2">
      <c r="A61" t="s">
        <v>24</v>
      </c>
      <c r="B61" t="s">
        <v>21</v>
      </c>
      <c r="C61" t="s">
        <v>22</v>
      </c>
      <c r="F61" t="s">
        <v>24</v>
      </c>
      <c r="G61" t="s">
        <v>22</v>
      </c>
      <c r="H61" t="s">
        <v>23</v>
      </c>
    </row>
    <row r="62" spans="1:8" x14ac:dyDescent="0.2">
      <c r="A62">
        <v>100</v>
      </c>
      <c r="B62">
        <f>B12</f>
        <v>790134.7</v>
      </c>
      <c r="C62">
        <f>C12</f>
        <v>239646.7</v>
      </c>
      <c r="F62">
        <v>100</v>
      </c>
      <c r="G62">
        <f>C12</f>
        <v>239646.7</v>
      </c>
      <c r="H62">
        <f>D12</f>
        <v>16849.8</v>
      </c>
    </row>
    <row r="63" spans="1:8" x14ac:dyDescent="0.2">
      <c r="A63">
        <v>200</v>
      </c>
      <c r="B63">
        <f>G12</f>
        <v>2299653.4</v>
      </c>
      <c r="C63">
        <f>H12</f>
        <v>452627.1</v>
      </c>
      <c r="F63">
        <v>200</v>
      </c>
      <c r="G63">
        <f>H12</f>
        <v>452627.1</v>
      </c>
      <c r="H63">
        <f>I12</f>
        <v>26943.1</v>
      </c>
    </row>
    <row r="64" spans="1:8" x14ac:dyDescent="0.2">
      <c r="A64">
        <v>400</v>
      </c>
      <c r="B64">
        <f>B27</f>
        <v>8671714.0999999996</v>
      </c>
      <c r="C64">
        <f>C27</f>
        <v>965909.5</v>
      </c>
      <c r="F64">
        <v>400</v>
      </c>
      <c r="G64">
        <f>C27</f>
        <v>965909.5</v>
      </c>
      <c r="H64">
        <f>D27</f>
        <v>53840.1</v>
      </c>
    </row>
    <row r="65" spans="1:8" x14ac:dyDescent="0.2">
      <c r="A65">
        <v>800</v>
      </c>
      <c r="B65">
        <f>G27</f>
        <v>34625217.700000003</v>
      </c>
      <c r="C65">
        <f>H27</f>
        <v>1876719.4</v>
      </c>
      <c r="F65">
        <v>800</v>
      </c>
      <c r="G65">
        <f>H27</f>
        <v>1876719.4</v>
      </c>
      <c r="H65">
        <f>I27</f>
        <v>101497.9</v>
      </c>
    </row>
    <row r="66" spans="1:8" x14ac:dyDescent="0.2">
      <c r="A66">
        <v>1600</v>
      </c>
      <c r="B66">
        <f>B42</f>
        <v>130036451.59999999</v>
      </c>
      <c r="C66">
        <f>C42</f>
        <v>3734711.4</v>
      </c>
      <c r="F66">
        <v>1600</v>
      </c>
      <c r="G66">
        <f>C42</f>
        <v>3734711.4</v>
      </c>
      <c r="H66">
        <f>D42</f>
        <v>200183.6</v>
      </c>
    </row>
    <row r="67" spans="1:8" x14ac:dyDescent="0.2">
      <c r="A67">
        <v>3200</v>
      </c>
      <c r="B67">
        <f>G42</f>
        <v>549767831</v>
      </c>
      <c r="C67">
        <f>H42</f>
        <v>8063422</v>
      </c>
      <c r="F67">
        <v>3200</v>
      </c>
      <c r="G67">
        <f>H42</f>
        <v>8063422</v>
      </c>
      <c r="H67">
        <f>I42</f>
        <v>368680.9</v>
      </c>
    </row>
    <row r="68" spans="1:8" x14ac:dyDescent="0.2">
      <c r="A68">
        <v>64000</v>
      </c>
      <c r="B68">
        <f>B57</f>
        <v>197953729334.29999</v>
      </c>
      <c r="C68">
        <f>C57</f>
        <v>175876651.19999999</v>
      </c>
      <c r="F68">
        <v>64000</v>
      </c>
      <c r="G68">
        <f>C57</f>
        <v>175876651.19999999</v>
      </c>
      <c r="H68">
        <f>D57</f>
        <v>7352987.2999999998</v>
      </c>
    </row>
    <row r="86" spans="1:1" x14ac:dyDescent="0.2">
      <c r="A86" t="s">
        <v>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Mujica</dc:creator>
  <cp:lastModifiedBy>Mario Mujica</cp:lastModifiedBy>
  <dcterms:created xsi:type="dcterms:W3CDTF">2025-02-21T07:35:47Z</dcterms:created>
  <dcterms:modified xsi:type="dcterms:W3CDTF">2025-02-21T09:36:56Z</dcterms:modified>
</cp:coreProperties>
</file>